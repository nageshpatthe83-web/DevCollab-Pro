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296" tabRatio="600" firstSheet="0" activeTab="0" autoFilterDateGrouping="1"/>
  </bookViews>
  <sheets>
    <sheet xmlns:r="http://schemas.openxmlformats.org/officeDocument/2006/relationships" name="EDI_CS_A_B1" sheetId="1" state="visible" r:id="rId1"/>
    <sheet xmlns:r="http://schemas.openxmlformats.org/officeDocument/2006/relationships" name="MSE" sheetId="2" state="visible" r:id="rId2"/>
    <sheet xmlns:r="http://schemas.openxmlformats.org/officeDocument/2006/relationships" name="ESE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0000"/>
      <sz val="10"/>
      <scheme val="minor"/>
    </font>
    <font>
      <name val="Arial"/>
      <family val="2"/>
      <color theme="1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6"/>
    </font>
    <font>
      <name val="Calibri"/>
      <family val="2"/>
      <b val="1"/>
      <color rgb="FF000000"/>
      <sz val="14"/>
    </font>
    <font>
      <name val="Calibri"/>
      <family val="2"/>
      <color theme="1"/>
      <sz val="12"/>
      <scheme val="minor"/>
    </font>
    <font>
      <name val="Calibri"/>
      <family val="2"/>
      <b val="1"/>
      <color rgb="FFC00000"/>
      <sz val="26"/>
      <scheme val="minor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8" fillId="0" borderId="0"/>
  </cellStyleXfs>
  <cellXfs count="76">
    <xf numFmtId="0" fontId="0" fillId="0" borderId="0" pivotButton="0" quotePrefix="0" xfId="0"/>
    <xf numFmtId="0" fontId="3" fillId="0" borderId="4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0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1" fillId="0" borderId="3" applyAlignment="1" pivotButton="0" quotePrefix="0" xfId="0">
      <alignment vertical="center"/>
    </xf>
    <xf numFmtId="0" fontId="11" fillId="0" borderId="4" applyAlignment="1" pivotButton="0" quotePrefix="0" xfId="0">
      <alignment vertical="center"/>
    </xf>
    <xf numFmtId="16" fontId="3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center"/>
    </xf>
    <xf numFmtId="0" fontId="5" fillId="0" borderId="14" applyAlignment="1" pivotButton="0" quotePrefix="0" xfId="1">
      <alignment horizontal="center" vertical="center"/>
    </xf>
    <xf numFmtId="0" fontId="5" fillId="0" borderId="14" applyAlignment="1" pivotButton="0" quotePrefix="0" xfId="1">
      <alignment horizontal="right" vertical="center"/>
    </xf>
    <xf numFmtId="0" fontId="5" fillId="0" borderId="14" applyAlignment="1" pivotButton="0" quotePrefix="0" xfId="1">
      <alignment vertical="center"/>
    </xf>
    <xf numFmtId="0" fontId="5" fillId="0" borderId="16" applyAlignment="1" pivotButton="0" quotePrefix="0" xfId="1">
      <alignment horizontal="right" vertical="center"/>
    </xf>
    <xf numFmtId="0" fontId="5" fillId="0" borderId="22" applyAlignment="1" pivotButton="0" quotePrefix="0" xfId="1">
      <alignment horizontal="center" vertical="center"/>
    </xf>
    <xf numFmtId="0" fontId="5" fillId="0" borderId="1" applyAlignment="1" pivotButton="0" quotePrefix="0" xfId="1">
      <alignment horizontal="right" vertical="center"/>
    </xf>
    <xf numFmtId="0" fontId="5" fillId="0" borderId="23" applyAlignment="1" pivotButton="0" quotePrefix="0" xfId="1">
      <alignment vertical="center"/>
    </xf>
    <xf numFmtId="0" fontId="5" fillId="0" borderId="1" applyAlignment="1" pivotButton="0" quotePrefix="0" xfId="1">
      <alignment vertical="center"/>
    </xf>
    <xf numFmtId="0" fontId="6" fillId="2" borderId="21" applyAlignment="1" pivotButton="0" quotePrefix="0" xfId="1">
      <alignment horizontal="center" vertical="center"/>
    </xf>
    <xf numFmtId="0" fontId="6" fillId="2" borderId="1" applyAlignment="1" pivotButton="0" quotePrefix="0" xfId="1">
      <alignment horizontal="right" vertical="center"/>
    </xf>
    <xf numFmtId="0" fontId="6" fillId="2" borderId="1" applyAlignment="1" pivotButton="0" quotePrefix="0" xfId="1">
      <alignment horizontal="left" vertical="center"/>
    </xf>
    <xf numFmtId="0" fontId="7" fillId="0" borderId="17" applyAlignment="1" pivotButton="0" quotePrefix="0" xfId="2">
      <alignment horizontal="center" vertical="center"/>
    </xf>
    <xf numFmtId="0" fontId="7" fillId="0" borderId="17" applyAlignment="1" pivotButton="0" quotePrefix="0" xfId="2">
      <alignment horizontal="right" vertical="center"/>
    </xf>
    <xf numFmtId="0" fontId="7" fillId="0" borderId="17" applyAlignment="1" pivotButton="0" quotePrefix="0" xfId="2">
      <alignment vertical="center"/>
    </xf>
    <xf numFmtId="0" fontId="7" fillId="0" borderId="14" applyAlignment="1" pivotButton="0" quotePrefix="0" xfId="2">
      <alignment horizontal="center" vertical="center"/>
    </xf>
    <xf numFmtId="0" fontId="7" fillId="0" borderId="14" applyAlignment="1" pivotButton="0" quotePrefix="0" xfId="2">
      <alignment horizontal="right" vertical="center"/>
    </xf>
    <xf numFmtId="0" fontId="7" fillId="0" borderId="14" applyAlignment="1" pivotButton="0" quotePrefix="0" xfId="2">
      <alignment vertical="center"/>
    </xf>
    <xf numFmtId="0" fontId="7" fillId="0" borderId="15" applyAlignment="1" pivotButton="0" quotePrefix="0" xfId="2">
      <alignment vertical="center"/>
    </xf>
    <xf numFmtId="0" fontId="1" fillId="0" borderId="0" applyAlignment="1" pivotButton="0" quotePrefix="0" xfId="0">
      <alignment vertical="center"/>
    </xf>
    <xf numFmtId="0" fontId="3" fillId="0" borderId="9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  <xf numFmtId="0" fontId="3" fillId="0" borderId="26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34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2" pivotButton="0" quotePrefix="0" xfId="0"/>
    <xf numFmtId="0" fontId="1" fillId="0" borderId="29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</cellXfs>
  <cellStyles count="3">
    <cellStyle name="Normal" xfId="0" builtinId="0"/>
    <cellStyle name="Normal 2" xfId="1"/>
    <cellStyle name="Normal 3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131792</colOff>
      <row>0</row>
      <rowOff>71884</rowOff>
    </from>
    <to>
      <col>2</col>
      <colOff>551130</colOff>
      <row>6</row>
      <rowOff>179716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1792" y="71884"/>
          <a:ext cx="1809149" cy="164141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</colOff>
      <row>0</row>
      <rowOff>1</rowOff>
    </from>
    <to>
      <col>1</col>
      <colOff>45720</colOff>
      <row>3</row>
      <rowOff>60941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1"/>
          <a:ext cx="655319" cy="6095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42"/>
  <sheetViews>
    <sheetView tabSelected="1" zoomScale="53" zoomScaleNormal="53" workbookViewId="0">
      <selection activeCell="F14" sqref="F14"/>
    </sheetView>
  </sheetViews>
  <sheetFormatPr baseColWidth="8" defaultColWidth="8.77734375" defaultRowHeight="14.4"/>
  <cols>
    <col width="8.77734375" customWidth="1" style="5" min="1" max="1"/>
    <col width="11.109375" customWidth="1" style="5" min="2" max="2"/>
    <col width="8.77734375" customWidth="1" style="5" min="3" max="3"/>
    <col width="23.21875" customWidth="1" style="5" min="4" max="4"/>
    <col width="20" customWidth="1" style="5" min="5" max="5"/>
    <col width="14.6640625" customWidth="1" style="5" min="6" max="6"/>
    <col width="13.77734375" customWidth="1" style="5" min="7" max="7"/>
    <col width="21.5546875" customWidth="1" style="5" min="8" max="8"/>
    <col width="14.77734375" customWidth="1" style="5" min="9" max="9"/>
    <col width="21.5546875" customWidth="1" style="5" min="10" max="10"/>
    <col width="6.44140625" customWidth="1" style="5" min="11" max="12"/>
    <col width="16.21875" customWidth="1" style="5" min="13" max="13"/>
    <col width="14.33203125" customWidth="1" style="5" min="14" max="14"/>
    <col width="15.5546875" customWidth="1" style="5" min="15" max="15"/>
    <col width="14.5546875" customWidth="1" style="5" min="16" max="16"/>
    <col width="15.33203125" customWidth="1" style="5" min="17" max="17"/>
    <col width="6.77734375" customWidth="1" style="5" min="18" max="18"/>
    <col width="8.77734375" customWidth="1" style="5" min="19" max="19"/>
    <col width="12" customWidth="1" style="5" min="20" max="20"/>
    <col width="8.77734375" customWidth="1" style="5" min="21" max="21"/>
    <col width="16" customWidth="1" style="5" min="22" max="22"/>
    <col width="19.44140625" customWidth="1" style="5" min="23" max="23"/>
    <col width="8.77734375" customWidth="1" style="5" min="24" max="25"/>
    <col width="15.77734375" customWidth="1" style="5" min="26" max="26"/>
    <col width="8.77734375" customWidth="1" style="5" min="27" max="16384"/>
  </cols>
  <sheetData>
    <row r="1" ht="33.6" customHeight="1">
      <c r="H1" s="10" t="inlineStr">
        <is>
          <t>Vishwakarma Institute of Technology</t>
        </is>
      </c>
      <c r="I1" s="10" t="n"/>
    </row>
    <row r="2" ht="21" customHeight="1">
      <c r="A2" s="58" t="n"/>
    </row>
    <row r="3" ht="18.75" customHeight="1">
      <c r="A3" s="47" t="n"/>
    </row>
    <row r="4" ht="17.25" customHeight="1">
      <c r="A4" s="48" t="inlineStr">
        <is>
          <t xml:space="preserve">Department/Faculty: </t>
        </is>
      </c>
    </row>
    <row r="5" ht="15.6" customHeight="1">
      <c r="A5" s="46" t="inlineStr">
        <is>
          <t>Project Assessment Sheet (Minor/Major/EDI/CP/Industry offered)</t>
        </is>
      </c>
    </row>
    <row r="6" ht="15.6" customHeight="1">
      <c r="E6" s="11" t="inlineStr">
        <is>
          <t>Year :</t>
        </is>
      </c>
      <c r="F6" s="11" t="inlineStr">
        <is>
          <t>Second Year (S.Y.)</t>
        </is>
      </c>
      <c r="G6" s="11" t="inlineStr">
        <is>
          <t>Division :</t>
        </is>
      </c>
      <c r="H6" s="11" t="inlineStr">
        <is>
          <t>Computer Engineering</t>
        </is>
      </c>
      <c r="I6" s="11" t="inlineStr">
        <is>
          <t>Batch :</t>
        </is>
      </c>
      <c r="J6" s="46" t="inlineStr">
        <is>
          <t>SY06</t>
        </is>
      </c>
      <c r="K6" s="46" t="n"/>
      <c r="L6" s="11" t="inlineStr">
        <is>
          <t>Date of MID Sem exam :</t>
        </is>
      </c>
      <c r="M6" s="12" t="n"/>
    </row>
    <row r="7" ht="18" customHeight="1">
      <c r="A7" s="13" t="n"/>
      <c r="B7" s="13" t="n"/>
      <c r="C7" s="13" t="n"/>
      <c r="D7" s="59" t="n"/>
      <c r="E7" s="46" t="n"/>
      <c r="F7" s="46" t="n"/>
      <c r="G7" s="46" t="n"/>
      <c r="H7" s="46" t="n"/>
      <c r="I7" s="46" t="n"/>
      <c r="J7" s="46" t="n"/>
      <c r="K7" s="46" t="n"/>
      <c r="L7" s="11" t="inlineStr">
        <is>
          <t>Date of END Sem exam :</t>
        </is>
      </c>
      <c r="M7" s="12" t="n"/>
    </row>
    <row r="8" ht="18.6" customHeight="1" thickBot="1">
      <c r="B8" s="59" t="n"/>
      <c r="D8" s="11" t="inlineStr">
        <is>
          <t>Dr. Yogesh Sharma</t>
        </is>
      </c>
      <c r="E8" s="46" t="n"/>
      <c r="F8" s="46" t="n"/>
      <c r="G8" s="46" t="n"/>
      <c r="H8" s="46" t="n"/>
      <c r="I8" s="46" t="n"/>
      <c r="J8" s="46" t="n"/>
      <c r="K8" s="12" t="n"/>
      <c r="L8" s="12" t="n"/>
      <c r="M8" s="12" t="n"/>
    </row>
    <row r="9" ht="29.4" customHeight="1" thickBot="1">
      <c r="A9" s="64" t="n"/>
      <c r="B9" s="65" t="n"/>
      <c r="C9" s="65" t="n"/>
      <c r="D9" s="65" t="n"/>
      <c r="E9" s="66" t="n"/>
      <c r="F9" s="67" t="inlineStr">
        <is>
          <t>MSE</t>
        </is>
      </c>
      <c r="G9" s="65" t="n"/>
      <c r="H9" s="65" t="n"/>
      <c r="I9" s="65" t="n"/>
      <c r="J9" s="65" t="n"/>
      <c r="K9" s="65" t="n"/>
      <c r="L9" s="66" t="n"/>
      <c r="M9" s="49" t="inlineStr">
        <is>
          <t>ESE</t>
        </is>
      </c>
      <c r="N9" s="65" t="n"/>
      <c r="O9" s="65" t="n"/>
      <c r="P9" s="65" t="n"/>
      <c r="Q9" s="65" t="n"/>
      <c r="R9" s="65" t="n"/>
      <c r="S9" s="65" t="n"/>
      <c r="T9" s="43" t="inlineStr">
        <is>
          <t>MSE+ESE</t>
        </is>
      </c>
      <c r="U9" s="45" t="inlineStr">
        <is>
          <t>TRL Level Assesment</t>
        </is>
      </c>
      <c r="V9" s="68" t="n"/>
      <c r="W9" s="69" t="n"/>
      <c r="X9" s="42" t="inlineStr">
        <is>
          <t>SDG (Y/N)</t>
        </is>
      </c>
      <c r="Y9" s="42" t="inlineStr">
        <is>
          <t>SDG NOS</t>
        </is>
      </c>
      <c r="Z9" s="41" t="inlineStr">
        <is>
          <t>JUSTIFICATION</t>
        </is>
      </c>
    </row>
    <row r="10" ht="114" customHeight="1" thickBot="1">
      <c r="A10" s="7" t="inlineStr">
        <is>
          <t>Group ID</t>
        </is>
      </c>
      <c r="B10" s="8" t="inlineStr">
        <is>
          <t>Roll No.</t>
        </is>
      </c>
      <c r="C10" s="8" t="inlineStr">
        <is>
          <t>Gr. No.</t>
        </is>
      </c>
      <c r="D10" s="8" t="inlineStr">
        <is>
          <t>Name of the student</t>
        </is>
      </c>
      <c r="E10" s="8" t="inlineStr">
        <is>
          <t>Project Title</t>
        </is>
      </c>
      <c r="F10" s="38" t="inlineStr">
        <is>
          <t>Problem Definition, Related Work &amp; Complexity</t>
        </is>
      </c>
      <c r="G10" s="38" t="inlineStr">
        <is>
          <t>Proposed Solution, Technical Approach &amp; Feasibility</t>
        </is>
      </c>
      <c r="H10" s="38" t="inlineStr">
        <is>
          <t>Cost, Resources, Environmental Relevance &amp; Sustainability</t>
        </is>
      </c>
      <c r="I10" s="38" t="inlineStr">
        <is>
          <t>Teamwork &amp; Project Management</t>
        </is>
      </c>
      <c r="J10" s="38" t="inlineStr">
        <is>
          <t>Communication,  Presentation</t>
        </is>
      </c>
      <c r="K10" s="8" t="inlineStr">
        <is>
          <t>Total</t>
        </is>
      </c>
      <c r="L10" s="38" t="inlineStr">
        <is>
          <t>Out of 30</t>
        </is>
      </c>
      <c r="M10" s="38" t="inlineStr">
        <is>
          <t>Technical Complexity, Implementation &amp; Innovation</t>
        </is>
      </c>
      <c r="N10" s="38" t="inlineStr">
        <is>
          <t>Cost Effectiveness &amp; Resource Utilization</t>
        </is>
      </c>
      <c r="O10" s="38" t="inlineStr">
        <is>
          <t>Environmental Relevance, Sustainability &amp; Impact</t>
        </is>
      </c>
      <c r="P10" s="39" t="inlineStr">
        <is>
          <t>Teamwork &amp; Project Management</t>
        </is>
      </c>
      <c r="Q10" s="38" t="inlineStr">
        <is>
          <t>Reporting, Demonstration</t>
        </is>
      </c>
      <c r="R10" s="8" t="inlineStr">
        <is>
          <t>Total</t>
        </is>
      </c>
      <c r="S10" s="38" t="inlineStr">
        <is>
          <t>ESE Out of 70</t>
        </is>
      </c>
      <c r="T10" s="40" t="inlineStr">
        <is>
          <t>Actual Marks out of 100</t>
        </is>
      </c>
      <c r="U10" s="41" t="inlineStr">
        <is>
          <t>TRL Level</t>
        </is>
      </c>
      <c r="V10" s="41" t="inlineStr">
        <is>
          <t>Justification</t>
        </is>
      </c>
      <c r="W10" s="41" t="inlineStr">
        <is>
          <t>Remarks (If any)</t>
        </is>
      </c>
      <c r="X10" s="6" t="n"/>
      <c r="Y10" s="6" t="n"/>
      <c r="Z10" s="44" t="n"/>
    </row>
    <row r="11" ht="16.2" customFormat="1" customHeight="1" s="12" thickBot="1">
      <c r="A11" s="15" t="n"/>
      <c r="B11" s="16" t="n"/>
      <c r="C11" s="16" t="n"/>
      <c r="D11" s="16" t="n"/>
      <c r="E11" s="16" t="n"/>
      <c r="F11" s="1" t="n">
        <v>10</v>
      </c>
      <c r="G11" s="1" t="n">
        <v>12</v>
      </c>
      <c r="H11" s="1" t="n">
        <v>8</v>
      </c>
      <c r="I11" s="1" t="n">
        <v>10</v>
      </c>
      <c r="J11" s="1" t="n">
        <v>10</v>
      </c>
      <c r="K11" s="1">
        <f>SUM(F11:J11)</f>
        <v/>
      </c>
      <c r="L11" s="1" t="n">
        <v>30</v>
      </c>
      <c r="M11" s="1" t="n">
        <v>30</v>
      </c>
      <c r="N11" s="1" t="n">
        <v>15</v>
      </c>
      <c r="O11" s="1" t="n">
        <v>15</v>
      </c>
      <c r="P11" s="1" t="n">
        <v>15</v>
      </c>
      <c r="Q11" s="1" t="n">
        <v>25</v>
      </c>
      <c r="R11" s="1">
        <f>SUM(M11:Q11)</f>
        <v/>
      </c>
      <c r="S11" s="1" t="n">
        <v>70</v>
      </c>
      <c r="T11" s="1" t="n">
        <v>100</v>
      </c>
      <c r="U11" s="17" t="inlineStr">
        <is>
          <t>1 to 9</t>
        </is>
      </c>
      <c r="V11" s="18" t="n"/>
      <c r="W11" s="18" t="n"/>
      <c r="X11" s="18" t="n"/>
      <c r="Y11" s="18" t="n"/>
      <c r="Z11" s="18" t="n"/>
    </row>
    <row r="12">
      <c r="A12" s="57" t="inlineStr">
        <is>
          <t>SY06</t>
        </is>
      </c>
      <c r="B12" s="19" t="inlineStr">
        <is>
          <t>04</t>
        </is>
      </c>
      <c r="C12" s="20" t="inlineStr">
        <is>
          <t>04</t>
        </is>
      </c>
      <c r="D12" s="21" t="inlineStr">
        <is>
          <t>Shantanu Shokin Patil</t>
        </is>
      </c>
      <c r="E12" s="52" t="inlineStr">
        <is>
          <t>DevCollab Pro: Intelligent Multi-Dimensional Code Evaluation and Hackathon Assessment Platform</t>
        </is>
      </c>
      <c r="F12" s="4" t="n"/>
      <c r="G12" s="4" t="n"/>
      <c r="H12" s="4" t="n"/>
      <c r="I12" s="4" t="n"/>
      <c r="J12" s="4" t="n"/>
      <c r="K12" s="2">
        <f>SUM(F12:J12)</f>
        <v/>
      </c>
      <c r="L12" s="3">
        <f>(K12*30)/50</f>
        <v/>
      </c>
      <c r="M12" s="4" t="n"/>
      <c r="N12" s="4" t="n"/>
      <c r="O12" s="4" t="n"/>
      <c r="P12" s="4" t="n"/>
      <c r="Q12" s="4" t="n"/>
      <c r="R12" s="2">
        <f>SUM(M12:Q12)</f>
        <v/>
      </c>
      <c r="S12" s="4">
        <f>(R12*70)/100</f>
        <v/>
      </c>
      <c r="T12" s="4">
        <f>SUM(L12,S12)</f>
        <v/>
      </c>
      <c r="U12" s="6" t="inlineStr">
        <is>
          <t>TRL 4 / 5</t>
        </is>
      </c>
      <c r="V12" s="6" t="inlineStr">
        <is>
          <t>Integrated prototype validated in laboratory/simulated environment with AST, Big-O profiler &amp; heap leaderboard.</t>
        </is>
      </c>
      <c r="W12" s="6" t="n"/>
      <c r="X12" s="6" t="inlineStr">
        <is>
          <t>Y</t>
        </is>
      </c>
      <c r="Y12" s="6" t="inlineStr">
        <is>
          <t>SDG 4, SDG 8, SDG 9, SDG 12</t>
        </is>
      </c>
      <c r="Z12" s="6" t="inlineStr">
        <is>
          <t>Actionable developer education (SDG 4), fair skill assessment (SDG 8), infrastructure (SDG 9), Green IT delta compression (SDG 12).</t>
        </is>
      </c>
    </row>
    <row r="13">
      <c r="A13" s="70" t="n"/>
      <c r="B13" s="19" t="inlineStr">
        <is>
          <t>10</t>
        </is>
      </c>
      <c r="C13" s="22" t="inlineStr">
        <is>
          <t>10</t>
        </is>
      </c>
      <c r="D13" s="21" t="inlineStr">
        <is>
          <t>Jagdish Prakash Patole</t>
        </is>
      </c>
      <c r="E13" s="71" t="n"/>
      <c r="F13" s="4" t="n"/>
      <c r="G13" s="4" t="n"/>
      <c r="H13" s="4" t="n"/>
      <c r="I13" s="4" t="n"/>
      <c r="J13" s="4" t="n"/>
      <c r="K13" s="2">
        <f>SUM(F13:J13)</f>
        <v/>
      </c>
      <c r="L13" s="3">
        <f>(K13*30)/50</f>
        <v/>
      </c>
      <c r="M13" s="4" t="n"/>
      <c r="N13" s="4" t="n"/>
      <c r="O13" s="4" t="n"/>
      <c r="P13" s="4" t="n"/>
      <c r="Q13" s="4" t="n"/>
      <c r="R13" s="2">
        <f>SUM(M13:Q13)</f>
        <v/>
      </c>
      <c r="S13" s="4">
        <f>(R13*70)/100</f>
        <v/>
      </c>
      <c r="T13" s="4" t="n"/>
      <c r="U13" s="6" t="n"/>
      <c r="V13" s="6" t="n"/>
      <c r="W13" s="6" t="n"/>
      <c r="X13" s="6" t="n"/>
      <c r="Y13" s="6" t="n"/>
      <c r="Z13" s="6" t="n"/>
    </row>
    <row r="14">
      <c r="A14" s="70" t="n"/>
      <c r="B14" s="23" t="inlineStr">
        <is>
          <t>11</t>
        </is>
      </c>
      <c r="C14" s="24" t="inlineStr">
        <is>
          <t>11</t>
        </is>
      </c>
      <c r="D14" s="25" t="inlineStr">
        <is>
          <t>Nagesh Kishor Patthe</t>
        </is>
      </c>
      <c r="E14" s="71" t="n"/>
      <c r="F14" s="4" t="n"/>
      <c r="G14" s="4" t="n"/>
      <c r="H14" s="4" t="n"/>
      <c r="I14" s="4" t="n"/>
      <c r="J14" s="4" t="n"/>
      <c r="K14" s="2">
        <f>SUM(F14:J14)</f>
        <v/>
      </c>
      <c r="L14" s="3">
        <f>(K14*30)/50</f>
        <v/>
      </c>
      <c r="M14" s="4" t="n"/>
      <c r="N14" s="4" t="n"/>
      <c r="O14" s="4" t="n"/>
      <c r="P14" s="4" t="n"/>
      <c r="Q14" s="4" t="n"/>
      <c r="R14" s="2">
        <f>SUM(M14:Q14)</f>
        <v/>
      </c>
      <c r="S14" s="4">
        <f>(R14*70)/100</f>
        <v/>
      </c>
      <c r="T14" s="4" t="n"/>
      <c r="U14" s="6" t="n"/>
      <c r="V14" s="6" t="n"/>
      <c r="W14" s="6" t="n"/>
      <c r="X14" s="6" t="n"/>
      <c r="Y14" s="6" t="n"/>
      <c r="Z14" s="6" t="n"/>
    </row>
    <row r="15">
      <c r="A15" s="70" t="n"/>
      <c r="B15" s="23" t="inlineStr">
        <is>
          <t>50</t>
        </is>
      </c>
      <c r="C15" s="24" t="inlineStr">
        <is>
          <t>50</t>
        </is>
      </c>
      <c r="D15" s="26" t="inlineStr">
        <is>
          <t>Kunal Sanjay Rahangdale</t>
        </is>
      </c>
      <c r="E15" s="71" t="n"/>
      <c r="F15" s="4" t="n"/>
      <c r="G15" s="4" t="n"/>
      <c r="H15" s="4" t="n"/>
      <c r="I15" s="4" t="n"/>
      <c r="J15" s="4" t="n"/>
      <c r="K15" s="2">
        <f>SUM(F15:J15)</f>
        <v/>
      </c>
      <c r="L15" s="3">
        <f>(K15*30)/50</f>
        <v/>
      </c>
      <c r="M15" s="4" t="n"/>
      <c r="N15" s="4" t="n"/>
      <c r="O15" s="4" t="n"/>
      <c r="P15" s="4" t="n"/>
      <c r="Q15" s="4" t="n"/>
      <c r="R15" s="2">
        <f>SUM(M15:Q15)</f>
        <v/>
      </c>
      <c r="S15" s="4">
        <f>(R15*70)/100</f>
        <v/>
      </c>
      <c r="T15" s="4" t="n"/>
      <c r="U15" s="6" t="n"/>
      <c r="V15" s="6" t="n"/>
      <c r="W15" s="6" t="n"/>
      <c r="X15" s="6" t="n"/>
      <c r="Y15" s="6" t="n"/>
      <c r="Z15" s="6" t="n"/>
    </row>
    <row r="16" ht="15" customHeight="1" thickBot="1">
      <c r="A16" s="70" t="n"/>
      <c r="B16" s="27" t="n"/>
      <c r="C16" s="28" t="n"/>
      <c r="D16" s="29" t="n"/>
      <c r="E16" s="71" t="n"/>
      <c r="F16" s="4" t="n"/>
      <c r="G16" s="4" t="n"/>
      <c r="H16" s="4" t="n"/>
      <c r="I16" s="4" t="n"/>
      <c r="J16" s="4" t="n"/>
      <c r="K16" s="2">
        <f>SUM(F16:J16)</f>
        <v/>
      </c>
      <c r="L16" s="3">
        <f>(K16*30)/50</f>
        <v/>
      </c>
      <c r="M16" s="4" t="n"/>
      <c r="N16" s="4" t="n"/>
      <c r="O16" s="4" t="n"/>
      <c r="P16" s="4" t="n"/>
      <c r="Q16" s="4" t="n"/>
      <c r="R16" s="2">
        <f>SUM(M16:Q16)</f>
        <v/>
      </c>
      <c r="S16" s="4">
        <f>(R16*70)/100</f>
        <v/>
      </c>
      <c r="T16" s="4" t="n"/>
      <c r="U16" s="6" t="n"/>
      <c r="V16" s="6" t="n"/>
      <c r="W16" s="6" t="n"/>
      <c r="X16" s="6" t="n"/>
      <c r="Y16" s="6" t="n"/>
      <c r="Z16" s="6" t="n"/>
    </row>
    <row r="17">
      <c r="A17" s="56" t="n"/>
      <c r="B17" s="30" t="n"/>
      <c r="C17" s="31" t="n"/>
      <c r="D17" s="32" t="n"/>
      <c r="E17" s="51" t="n"/>
      <c r="F17" s="4" t="n"/>
      <c r="G17" s="4" t="n"/>
      <c r="H17" s="4" t="n"/>
      <c r="I17" s="4" t="n"/>
      <c r="J17" s="4" t="n"/>
      <c r="K17" s="2">
        <f>SUM(F17:J17)</f>
        <v/>
      </c>
      <c r="L17" s="3">
        <f>(K17*30)/50</f>
        <v/>
      </c>
      <c r="M17" s="4" t="n"/>
      <c r="N17" s="4" t="n"/>
      <c r="O17" s="4" t="n"/>
      <c r="P17" s="4" t="n"/>
      <c r="Q17" s="4" t="n"/>
      <c r="R17" s="2">
        <f>SUM(M17:Q17)</f>
        <v/>
      </c>
      <c r="S17" s="4">
        <f>(R17*70)/100</f>
        <v/>
      </c>
      <c r="T17" s="4" t="n"/>
      <c r="U17" s="6" t="n"/>
      <c r="V17" s="6" t="n"/>
      <c r="W17" s="6" t="n"/>
      <c r="X17" s="6" t="n"/>
      <c r="Y17" s="6" t="n"/>
      <c r="Z17" s="6" t="n"/>
    </row>
    <row r="18">
      <c r="A18" s="70" t="n"/>
      <c r="B18" s="33" t="n"/>
      <c r="C18" s="34" t="n"/>
      <c r="D18" s="35" t="n"/>
      <c r="E18" s="71" t="n"/>
      <c r="F18" s="4" t="n"/>
      <c r="G18" s="4" t="n"/>
      <c r="H18" s="4" t="n"/>
      <c r="I18" s="4" t="n"/>
      <c r="J18" s="4" t="n"/>
      <c r="K18" s="2">
        <f>SUM(F18:J18)</f>
        <v/>
      </c>
      <c r="L18" s="3">
        <f>(K18*30)/50</f>
        <v/>
      </c>
      <c r="M18" s="4" t="n"/>
      <c r="N18" s="4" t="n"/>
      <c r="O18" s="4" t="n"/>
      <c r="P18" s="4" t="n"/>
      <c r="Q18" s="4" t="n"/>
      <c r="R18" s="2">
        <f>SUM(M18:Q18)</f>
        <v/>
      </c>
      <c r="S18" s="4">
        <f>(R18*70)/100</f>
        <v/>
      </c>
      <c r="T18" s="4" t="n"/>
      <c r="U18" s="6" t="n"/>
      <c r="V18" s="6" t="n"/>
      <c r="W18" s="6" t="n"/>
      <c r="X18" s="6" t="n"/>
      <c r="Y18" s="6" t="n"/>
      <c r="Z18" s="6" t="n"/>
    </row>
    <row r="19">
      <c r="A19" s="70" t="n"/>
      <c r="B19" s="33" t="n"/>
      <c r="C19" s="34" t="n"/>
      <c r="D19" s="35" t="n"/>
      <c r="E19" s="71" t="n"/>
      <c r="F19" s="4" t="n"/>
      <c r="G19" s="4" t="n"/>
      <c r="H19" s="4" t="n"/>
      <c r="I19" s="4" t="n"/>
      <c r="J19" s="4" t="n"/>
      <c r="K19" s="2">
        <f>SUM(F19:J19)</f>
        <v/>
      </c>
      <c r="L19" s="3">
        <f>(K19*30)/50</f>
        <v/>
      </c>
      <c r="M19" s="4" t="n"/>
      <c r="N19" s="4" t="n"/>
      <c r="O19" s="4" t="n"/>
      <c r="P19" s="4" t="n"/>
      <c r="Q19" s="4" t="n"/>
      <c r="R19" s="2">
        <f>SUM(M19:Q19)</f>
        <v/>
      </c>
      <c r="S19" s="4">
        <f>(R19*70)/100</f>
        <v/>
      </c>
      <c r="T19" s="4" t="n"/>
      <c r="U19" s="6" t="n"/>
      <c r="V19" s="6" t="n"/>
      <c r="W19" s="6" t="n"/>
      <c r="X19" s="6" t="n"/>
      <c r="Y19" s="6" t="n"/>
      <c r="Z19" s="6" t="n"/>
    </row>
    <row r="20">
      <c r="A20" s="70" t="n"/>
      <c r="B20" s="33" t="n"/>
      <c r="C20" s="34" t="n"/>
      <c r="D20" s="35" t="n"/>
      <c r="E20" s="71" t="n"/>
      <c r="F20" s="4" t="n"/>
      <c r="G20" s="4" t="n"/>
      <c r="H20" s="4" t="n"/>
      <c r="I20" s="4" t="n"/>
      <c r="J20" s="4" t="n"/>
      <c r="K20" s="2">
        <f>SUM(F20:J20)</f>
        <v/>
      </c>
      <c r="L20" s="3">
        <f>(K20*30)/50</f>
        <v/>
      </c>
      <c r="M20" s="4" t="n"/>
      <c r="N20" s="4" t="n"/>
      <c r="O20" s="4" t="n"/>
      <c r="P20" s="4" t="n"/>
      <c r="Q20" s="4" t="n"/>
      <c r="R20" s="2">
        <f>SUM(M20:Q20)</f>
        <v/>
      </c>
      <c r="S20" s="4">
        <f>(R20*70)/100</f>
        <v/>
      </c>
      <c r="T20" s="4" t="n"/>
      <c r="U20" s="6" t="n"/>
      <c r="V20" s="6" t="n"/>
      <c r="W20" s="6" t="n"/>
      <c r="X20" s="6" t="n"/>
      <c r="Y20" s="6" t="n"/>
      <c r="Z20" s="6" t="n"/>
    </row>
    <row r="21" ht="15" customHeight="1" thickBot="1">
      <c r="A21" s="70" t="n"/>
      <c r="B21" s="33" t="n"/>
      <c r="C21" s="34" t="n"/>
      <c r="D21" s="35" t="n"/>
      <c r="E21" s="71" t="n"/>
      <c r="F21" s="4" t="n"/>
      <c r="G21" s="4" t="n"/>
      <c r="H21" s="4" t="n"/>
      <c r="I21" s="4" t="n"/>
      <c r="J21" s="4" t="n"/>
      <c r="K21" s="2">
        <f>SUM(F21:J21)</f>
        <v/>
      </c>
      <c r="L21" s="3">
        <f>(K21*30)/50</f>
        <v/>
      </c>
      <c r="M21" s="4" t="n"/>
      <c r="N21" s="4" t="n"/>
      <c r="O21" s="4" t="n"/>
      <c r="P21" s="4" t="n"/>
      <c r="Q21" s="4" t="n"/>
      <c r="R21" s="2">
        <f>SUM(M21:Q21)</f>
        <v/>
      </c>
      <c r="S21" s="4">
        <f>(R21*70)/100</f>
        <v/>
      </c>
      <c r="T21" s="4" t="n"/>
      <c r="U21" s="6" t="n"/>
      <c r="V21" s="6" t="n"/>
      <c r="W21" s="6" t="n"/>
      <c r="X21" s="6" t="n"/>
      <c r="Y21" s="6" t="n"/>
      <c r="Z21" s="6" t="n"/>
    </row>
    <row r="22" ht="15" customHeight="1">
      <c r="A22" s="56" t="n"/>
      <c r="B22" s="30" t="n"/>
      <c r="C22" s="34" t="n"/>
      <c r="D22" s="36" t="n"/>
      <c r="E22" s="51" t="n"/>
      <c r="F22" s="4" t="n"/>
      <c r="G22" s="4" t="n"/>
      <c r="H22" s="4" t="n"/>
      <c r="I22" s="4" t="n"/>
      <c r="J22" s="4" t="n"/>
      <c r="K22" s="2">
        <f>SUM(F22:J22)</f>
        <v/>
      </c>
      <c r="L22" s="3">
        <f>(K22*30)/50</f>
        <v/>
      </c>
      <c r="M22" s="4" t="n"/>
      <c r="N22" s="4" t="n"/>
      <c r="O22" s="4" t="n"/>
      <c r="P22" s="4" t="n"/>
      <c r="Q22" s="4" t="n"/>
      <c r="R22" s="2">
        <f>SUM(M22:Q22)</f>
        <v/>
      </c>
      <c r="S22" s="4">
        <f>(R22*70)/100</f>
        <v/>
      </c>
      <c r="T22" s="4" t="n"/>
      <c r="U22" s="6" t="n"/>
      <c r="V22" s="6" t="n"/>
      <c r="W22" s="6" t="n"/>
      <c r="X22" s="6" t="n"/>
      <c r="Y22" s="6" t="n"/>
      <c r="Z22" s="6" t="n"/>
    </row>
    <row r="23">
      <c r="A23" s="70" t="n"/>
      <c r="B23" s="33" t="n"/>
      <c r="C23" s="34" t="n"/>
      <c r="D23" s="36" t="n"/>
      <c r="E23" s="71" t="n"/>
      <c r="F23" s="4" t="n"/>
      <c r="G23" s="4" t="n"/>
      <c r="H23" s="4" t="n"/>
      <c r="I23" s="4" t="n"/>
      <c r="J23" s="4" t="n"/>
      <c r="K23" s="2">
        <f>SUM(F23:J23)</f>
        <v/>
      </c>
      <c r="L23" s="3">
        <f>(K23*30)/50</f>
        <v/>
      </c>
      <c r="M23" s="4" t="n"/>
      <c r="N23" s="4" t="n"/>
      <c r="O23" s="4" t="n"/>
      <c r="P23" s="4" t="n"/>
      <c r="Q23" s="4" t="n"/>
      <c r="R23" s="2">
        <f>SUM(M23:Q23)</f>
        <v/>
      </c>
      <c r="S23" s="4">
        <f>(R23*70)/100</f>
        <v/>
      </c>
      <c r="T23" s="4" t="n"/>
      <c r="U23" s="6" t="n"/>
      <c r="V23" s="6" t="n"/>
      <c r="W23" s="6" t="n"/>
      <c r="X23" s="6" t="n"/>
      <c r="Y23" s="6" t="n"/>
      <c r="Z23" s="6" t="n"/>
    </row>
    <row r="24">
      <c r="A24" s="70" t="n"/>
      <c r="B24" s="33" t="n"/>
      <c r="C24" s="34" t="n"/>
      <c r="D24" s="36" t="n"/>
      <c r="E24" s="71" t="n"/>
      <c r="F24" s="4" t="n"/>
      <c r="G24" s="4" t="n"/>
      <c r="H24" s="4" t="n"/>
      <c r="I24" s="4" t="n"/>
      <c r="J24" s="4" t="n"/>
      <c r="K24" s="2">
        <f>SUM(F24:J24)</f>
        <v/>
      </c>
      <c r="L24" s="3">
        <f>(K24*30)/50</f>
        <v/>
      </c>
      <c r="M24" s="4" t="n"/>
      <c r="N24" s="4" t="n"/>
      <c r="O24" s="4" t="n"/>
      <c r="P24" s="4" t="n"/>
      <c r="Q24" s="4" t="n"/>
      <c r="R24" s="2">
        <f>SUM(M24:Q24)</f>
        <v/>
      </c>
      <c r="S24" s="4">
        <f>(R24*70)/100</f>
        <v/>
      </c>
      <c r="T24" s="4" t="n"/>
      <c r="U24" s="6" t="n"/>
      <c r="V24" s="6" t="n"/>
      <c r="W24" s="6" t="n"/>
      <c r="X24" s="6" t="n"/>
      <c r="Y24" s="6" t="n"/>
      <c r="Z24" s="6" t="n"/>
    </row>
    <row r="25">
      <c r="A25" s="70" t="n"/>
      <c r="B25" s="33" t="n"/>
      <c r="C25" s="34" t="n"/>
      <c r="D25" s="36" t="n"/>
      <c r="E25" s="71" t="n"/>
      <c r="F25" s="4" t="n"/>
      <c r="G25" s="4" t="n"/>
      <c r="H25" s="4" t="n"/>
      <c r="I25" s="4" t="n"/>
      <c r="J25" s="4" t="n"/>
      <c r="K25" s="2">
        <f>SUM(F25:J25)</f>
        <v/>
      </c>
      <c r="L25" s="3">
        <f>(K25*30)/50</f>
        <v/>
      </c>
      <c r="M25" s="4" t="n"/>
      <c r="N25" s="4" t="n"/>
      <c r="O25" s="4" t="n"/>
      <c r="P25" s="4" t="n"/>
      <c r="Q25" s="4" t="n"/>
      <c r="R25" s="2">
        <f>SUM(M25:Q25)</f>
        <v/>
      </c>
      <c r="S25" s="4">
        <f>(R25*70)/100</f>
        <v/>
      </c>
      <c r="T25" s="4" t="n"/>
      <c r="U25" s="6" t="n"/>
      <c r="V25" s="6" t="n"/>
      <c r="W25" s="6" t="n"/>
      <c r="X25" s="6" t="n"/>
      <c r="Y25" s="6" t="n"/>
      <c r="Z25" s="6" t="n"/>
    </row>
    <row r="26" ht="15" customHeight="1" thickBot="1">
      <c r="A26" s="70" t="n"/>
      <c r="B26" s="33" t="n"/>
      <c r="C26" s="34" t="n"/>
      <c r="D26" s="36" t="n"/>
      <c r="E26" s="71" t="n"/>
      <c r="F26" s="4" t="n"/>
      <c r="G26" s="4" t="n"/>
      <c r="H26" s="4" t="n"/>
      <c r="I26" s="4" t="n"/>
      <c r="J26" s="4" t="n"/>
      <c r="K26" s="2">
        <f>SUM(F26:J26)</f>
        <v/>
      </c>
      <c r="L26" s="3">
        <f>(K26*30)/50</f>
        <v/>
      </c>
      <c r="M26" s="4" t="n"/>
      <c r="N26" s="4" t="n"/>
      <c r="O26" s="4" t="n"/>
      <c r="P26" s="4" t="n"/>
      <c r="Q26" s="4" t="n"/>
      <c r="R26" s="2">
        <f>SUM(M26:Q26)</f>
        <v/>
      </c>
      <c r="S26" s="4">
        <f>(R26*70)/100</f>
        <v/>
      </c>
      <c r="T26" s="4" t="n"/>
      <c r="U26" s="6" t="n"/>
      <c r="V26" s="6" t="n"/>
      <c r="W26" s="6" t="n"/>
      <c r="X26" s="6" t="n"/>
      <c r="Y26" s="6" t="n"/>
      <c r="Z26" s="6" t="n"/>
    </row>
    <row r="27">
      <c r="A27" s="45" t="n"/>
      <c r="B27" s="33" t="n"/>
      <c r="C27" s="34" t="n"/>
      <c r="D27" s="35" t="n"/>
      <c r="E27" s="51" t="n"/>
      <c r="F27" s="4" t="n"/>
      <c r="G27" s="4" t="n"/>
      <c r="H27" s="4" t="n"/>
      <c r="I27" s="4" t="n"/>
      <c r="J27" s="4" t="n"/>
      <c r="K27" s="2">
        <f>SUM(F27:J27)</f>
        <v/>
      </c>
      <c r="L27" s="3">
        <f>(K27*30)/50</f>
        <v/>
      </c>
      <c r="M27" s="4" t="n"/>
      <c r="N27" s="4" t="n"/>
      <c r="O27" s="4" t="n"/>
      <c r="P27" s="4" t="n"/>
      <c r="Q27" s="4" t="n"/>
      <c r="R27" s="2">
        <f>SUM(M27:Q27)</f>
        <v/>
      </c>
      <c r="S27" s="4">
        <f>(R27*70)/100</f>
        <v/>
      </c>
      <c r="T27" s="4" t="n"/>
      <c r="U27" s="6" t="n"/>
      <c r="V27" s="6" t="n"/>
      <c r="W27" s="6" t="n"/>
      <c r="X27" s="6" t="n"/>
      <c r="Y27" s="6" t="n"/>
      <c r="Z27" s="6" t="n"/>
    </row>
    <row r="28">
      <c r="A28" s="71" t="n"/>
      <c r="B28" s="33" t="n"/>
      <c r="C28" s="34" t="n"/>
      <c r="D28" s="35" t="n"/>
      <c r="E28" s="71" t="n"/>
      <c r="F28" s="4" t="n"/>
      <c r="G28" s="4" t="n"/>
      <c r="H28" s="4" t="n"/>
      <c r="I28" s="4" t="n"/>
      <c r="J28" s="4" t="n"/>
      <c r="K28" s="2">
        <f>SUM(F28:J28)</f>
        <v/>
      </c>
      <c r="L28" s="3">
        <f>(K28*30)/50</f>
        <v/>
      </c>
      <c r="M28" s="4" t="n"/>
      <c r="N28" s="4" t="n"/>
      <c r="O28" s="4" t="n"/>
      <c r="P28" s="4" t="n"/>
      <c r="Q28" s="4" t="n"/>
      <c r="R28" s="2">
        <f>SUM(M28:Q28)</f>
        <v/>
      </c>
      <c r="S28" s="4">
        <f>(R28*70)/100</f>
        <v/>
      </c>
      <c r="T28" s="4" t="n"/>
      <c r="U28" s="6" t="n"/>
      <c r="V28" s="6" t="n"/>
      <c r="W28" s="6" t="n"/>
      <c r="X28" s="6" t="n"/>
      <c r="Y28" s="6" t="n"/>
      <c r="Z28" s="6" t="n"/>
    </row>
    <row r="29">
      <c r="A29" s="71" t="n"/>
      <c r="B29" s="33" t="n"/>
      <c r="C29" s="34" t="n"/>
      <c r="D29" s="35" t="n"/>
      <c r="E29" s="71" t="n"/>
      <c r="F29" s="4" t="n"/>
      <c r="G29" s="4" t="n"/>
      <c r="H29" s="4" t="n"/>
      <c r="I29" s="4" t="n"/>
      <c r="J29" s="4" t="n"/>
      <c r="K29" s="2">
        <f>SUM(F29:J29)</f>
        <v/>
      </c>
      <c r="L29" s="3">
        <f>(K29*30)/50</f>
        <v/>
      </c>
      <c r="M29" s="4" t="n"/>
      <c r="N29" s="4" t="n"/>
      <c r="O29" s="4" t="n"/>
      <c r="P29" s="4" t="n"/>
      <c r="Q29" s="4" t="n"/>
      <c r="R29" s="2">
        <f>SUM(M29:Q29)</f>
        <v/>
      </c>
      <c r="S29" s="4">
        <f>(R29*70)/100</f>
        <v/>
      </c>
      <c r="T29" s="4" t="n"/>
      <c r="U29" s="6" t="n"/>
      <c r="V29" s="6" t="n"/>
      <c r="W29" s="6" t="n"/>
      <c r="X29" s="6" t="n"/>
      <c r="Y29" s="6" t="n"/>
      <c r="Z29" s="6" t="n"/>
    </row>
    <row r="30">
      <c r="A30" s="71" t="n"/>
      <c r="B30" s="33" t="n"/>
      <c r="C30" s="34" t="n"/>
      <c r="D30" s="35" t="n"/>
      <c r="E30" s="71" t="n"/>
      <c r="F30" s="4" t="n"/>
      <c r="G30" s="4" t="n"/>
      <c r="H30" s="4" t="n"/>
      <c r="I30" s="4" t="n"/>
      <c r="J30" s="4" t="n"/>
      <c r="K30" s="2">
        <f>SUM(F30:J30)</f>
        <v/>
      </c>
      <c r="L30" s="3">
        <f>(K30*30)/50</f>
        <v/>
      </c>
      <c r="M30" s="4" t="n"/>
      <c r="N30" s="4" t="n"/>
      <c r="O30" s="4" t="n"/>
      <c r="P30" s="4" t="n"/>
      <c r="Q30" s="4" t="n"/>
      <c r="R30" s="2">
        <f>SUM(M30:Q30)</f>
        <v/>
      </c>
      <c r="S30" s="4">
        <f>(R30*70)/100</f>
        <v/>
      </c>
      <c r="T30" s="4" t="n"/>
      <c r="U30" s="6" t="n"/>
      <c r="V30" s="6" t="n"/>
      <c r="W30" s="6" t="n"/>
      <c r="X30" s="6" t="n"/>
      <c r="Y30" s="6" t="n"/>
      <c r="Z30" s="6" t="n"/>
    </row>
    <row r="31" ht="15" customHeight="1" thickBot="1">
      <c r="A31" s="72" t="n"/>
      <c r="B31" s="33" t="n"/>
      <c r="C31" s="34" t="n"/>
      <c r="D31" s="35" t="n"/>
      <c r="E31" s="71" t="n"/>
      <c r="F31" s="4" t="n"/>
      <c r="G31" s="4" t="n"/>
      <c r="H31" s="4" t="n"/>
      <c r="I31" s="4" t="n"/>
      <c r="J31" s="4" t="n"/>
      <c r="K31" s="2">
        <f>SUM(F31:J31)</f>
        <v/>
      </c>
      <c r="L31" s="3">
        <f>(K31*30)/50</f>
        <v/>
      </c>
      <c r="M31" s="4" t="n"/>
      <c r="N31" s="4" t="n"/>
      <c r="O31" s="4" t="n"/>
      <c r="P31" s="4" t="n"/>
      <c r="Q31" s="4" t="n"/>
      <c r="R31" s="2">
        <f>SUM(M31:Q31)</f>
        <v/>
      </c>
      <c r="S31" s="4">
        <f>(R31*70)/100</f>
        <v/>
      </c>
      <c r="T31" s="4" t="n"/>
      <c r="U31" s="6" t="n"/>
      <c r="V31" s="6" t="n"/>
      <c r="W31" s="6" t="n"/>
      <c r="X31" s="6" t="n"/>
      <c r="Y31" s="6" t="n"/>
      <c r="Z31" s="6" t="n"/>
    </row>
    <row r="32">
      <c r="A32" s="45" t="n"/>
      <c r="B32" s="33" t="n"/>
      <c r="C32" s="34" t="n"/>
      <c r="D32" s="36" t="n"/>
      <c r="E32" s="73" t="n"/>
      <c r="F32" s="4" t="n"/>
      <c r="G32" s="4" t="n"/>
      <c r="H32" s="4" t="n"/>
      <c r="I32" s="4" t="n"/>
      <c r="J32" s="4" t="n"/>
      <c r="K32" s="2">
        <f>SUM(F32:J32)</f>
        <v/>
      </c>
      <c r="L32" s="3">
        <f>(K32*30)/50</f>
        <v/>
      </c>
      <c r="M32" s="4" t="n"/>
      <c r="N32" s="4" t="n"/>
      <c r="O32" s="4" t="n"/>
      <c r="P32" s="4" t="n"/>
      <c r="Q32" s="4" t="n"/>
      <c r="R32" s="2">
        <f>SUM(M32:Q32)</f>
        <v/>
      </c>
      <c r="S32" s="4">
        <f>(R32*70)/100</f>
        <v/>
      </c>
      <c r="T32" s="4" t="n"/>
      <c r="U32" s="6" t="n"/>
      <c r="V32" s="6" t="n"/>
      <c r="W32" s="6" t="n"/>
      <c r="X32" s="6" t="n"/>
      <c r="Y32" s="6" t="n"/>
      <c r="Z32" s="6" t="n"/>
    </row>
    <row r="33">
      <c r="A33" s="71" t="n"/>
      <c r="B33" s="33" t="n"/>
      <c r="C33" s="34" t="n"/>
      <c r="D33" s="36" t="n"/>
      <c r="E33" s="74" t="n"/>
      <c r="F33" s="4" t="n"/>
      <c r="G33" s="4" t="n"/>
      <c r="H33" s="4" t="n"/>
      <c r="I33" s="4" t="n"/>
      <c r="J33" s="4" t="n"/>
      <c r="K33" s="2">
        <f>SUM(F33:J33)</f>
        <v/>
      </c>
      <c r="L33" s="3">
        <f>(K33*30)/50</f>
        <v/>
      </c>
      <c r="M33" s="4" t="n"/>
      <c r="N33" s="4" t="n"/>
      <c r="O33" s="4" t="n"/>
      <c r="P33" s="4" t="n"/>
      <c r="Q33" s="4" t="n"/>
      <c r="R33" s="2">
        <f>SUM(M33:Q33)</f>
        <v/>
      </c>
      <c r="S33" s="4">
        <f>(R33*70)/100</f>
        <v/>
      </c>
      <c r="T33" s="4" t="n"/>
      <c r="U33" s="6" t="n"/>
      <c r="V33" s="6" t="n"/>
      <c r="W33" s="6" t="n"/>
      <c r="X33" s="6" t="n"/>
      <c r="Y33" s="6" t="n"/>
      <c r="Z33" s="6" t="n"/>
    </row>
    <row r="34">
      <c r="A34" s="71" t="n"/>
      <c r="B34" s="33" t="n"/>
      <c r="C34" s="34" t="n"/>
      <c r="D34" s="36" t="n"/>
      <c r="E34" s="74" t="n"/>
      <c r="F34" s="4" t="n"/>
      <c r="G34" s="4" t="n"/>
      <c r="H34" s="4" t="n"/>
      <c r="I34" s="4" t="n"/>
      <c r="J34" s="4" t="n"/>
      <c r="K34" s="2">
        <f>SUM(F34:J34)</f>
        <v/>
      </c>
      <c r="L34" s="3">
        <f>(K34*30)/50</f>
        <v/>
      </c>
      <c r="M34" s="4" t="n"/>
      <c r="N34" s="4" t="n"/>
      <c r="O34" s="4" t="n"/>
      <c r="P34" s="4" t="n"/>
      <c r="Q34" s="4" t="n"/>
      <c r="R34" s="2">
        <f>SUM(M34:Q34)</f>
        <v/>
      </c>
      <c r="S34" s="4">
        <f>(R34*70)/100</f>
        <v/>
      </c>
      <c r="T34" s="4" t="n"/>
      <c r="U34" s="6" t="n"/>
      <c r="V34" s="6" t="n"/>
      <c r="W34" s="6" t="n"/>
      <c r="X34" s="6" t="n"/>
      <c r="Y34" s="6" t="n"/>
      <c r="Z34" s="6" t="n"/>
    </row>
    <row r="35">
      <c r="A35" s="71" t="n"/>
      <c r="B35" s="33" t="n"/>
      <c r="C35" s="34" t="n"/>
      <c r="D35" s="36" t="n"/>
      <c r="E35" s="74" t="n"/>
      <c r="F35" s="4" t="n"/>
      <c r="G35" s="4" t="n"/>
      <c r="H35" s="4" t="n"/>
      <c r="I35" s="4" t="n"/>
      <c r="J35" s="4" t="n"/>
      <c r="K35" s="2">
        <f>SUM(F35:J35)</f>
        <v/>
      </c>
      <c r="L35" s="3">
        <f>(K35*30)/50</f>
        <v/>
      </c>
      <c r="M35" s="4" t="n"/>
      <c r="N35" s="4" t="n"/>
      <c r="O35" s="4" t="n"/>
      <c r="P35" s="4" t="n"/>
      <c r="Q35" s="4" t="n"/>
      <c r="R35" s="2">
        <f>SUM(M35:Q35)</f>
        <v/>
      </c>
      <c r="S35" s="4">
        <f>(R35*70)/100</f>
        <v/>
      </c>
      <c r="T35" s="4" t="n"/>
      <c r="U35" s="6" t="n"/>
      <c r="V35" s="6" t="n"/>
      <c r="W35" s="6" t="n"/>
      <c r="X35" s="6" t="n"/>
      <c r="Y35" s="6" t="n"/>
      <c r="Z35" s="6" t="n"/>
    </row>
    <row r="36">
      <c r="A36" s="72" t="n"/>
      <c r="B36" s="33" t="n"/>
      <c r="C36" s="34" t="n"/>
      <c r="D36" s="36" t="n"/>
      <c r="E36" s="75" t="n"/>
      <c r="F36" s="4" t="n"/>
      <c r="G36" s="4" t="n"/>
      <c r="H36" s="4" t="n"/>
      <c r="I36" s="4" t="n"/>
      <c r="J36" s="4" t="n"/>
      <c r="K36" s="2">
        <f>SUM(F36:J36)</f>
        <v/>
      </c>
      <c r="L36" s="3">
        <f>(K36*30)/50</f>
        <v/>
      </c>
      <c r="M36" s="4" t="n"/>
      <c r="N36" s="4" t="n"/>
      <c r="O36" s="4" t="n"/>
      <c r="P36" s="4" t="n"/>
      <c r="Q36" s="4" t="n"/>
      <c r="R36" s="2">
        <f>SUM(M36:Q36)</f>
        <v/>
      </c>
      <c r="S36" s="4">
        <f>(R36*70)/100</f>
        <v/>
      </c>
      <c r="T36" s="4" t="n"/>
      <c r="U36" s="6" t="n"/>
      <c r="V36" s="6" t="n"/>
      <c r="W36" s="6" t="n"/>
      <c r="X36" s="6" t="n"/>
      <c r="Y36" s="6" t="n"/>
      <c r="Z36" s="6" t="n"/>
    </row>
    <row r="40">
      <c r="A40" s="37" t="inlineStr">
        <is>
          <t>Internal Examiner Name</t>
        </is>
      </c>
      <c r="C40" s="37" t="n"/>
      <c r="K40" s="37" t="n"/>
      <c r="R40" s="37" t="n"/>
    </row>
    <row r="42">
      <c r="A42" s="37" t="inlineStr">
        <is>
          <t>Signature</t>
        </is>
      </c>
    </row>
  </sheetData>
  <mergeCells count="19">
    <mergeCell ref="A12:A16"/>
    <mergeCell ref="F9:L9"/>
    <mergeCell ref="E27:E31"/>
    <mergeCell ref="A32:A36"/>
    <mergeCell ref="A22:A26"/>
    <mergeCell ref="A17:A21"/>
    <mergeCell ref="E32:E36"/>
    <mergeCell ref="E12:E16"/>
    <mergeCell ref="E22:E26"/>
    <mergeCell ref="B8:C8"/>
    <mergeCell ref="M9:S9"/>
    <mergeCell ref="A3:T3"/>
    <mergeCell ref="A2:T2"/>
    <mergeCell ref="U9:W9"/>
    <mergeCell ref="A5:T5"/>
    <mergeCell ref="E17:E21"/>
    <mergeCell ref="A4:T4"/>
    <mergeCell ref="A27:A31"/>
    <mergeCell ref="A9:E9"/>
  </mergeCells>
  <pageMargins left="0.7" right="0.7" top="0.75" bottom="0.75" header="0.3" footer="0.3"/>
  <pageSetup orientation="landscape" paperSize="9" scale="37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2"/>
  <sheetViews>
    <sheetView topLeftCell="D1" workbookViewId="0">
      <selection activeCell="C3" sqref="C3"/>
    </sheetView>
  </sheetViews>
  <sheetFormatPr baseColWidth="8" defaultRowHeight="14.4"/>
  <sheetData>
    <row r="1">
      <c r="H1" t="inlineStr">
        <is>
          <t>Vishwakarma Institute of Technology</t>
        </is>
      </c>
    </row>
    <row r="4">
      <c r="A4" t="inlineStr">
        <is>
          <t xml:space="preserve">Department/Faculty: </t>
        </is>
      </c>
    </row>
    <row r="5">
      <c r="A5" t="inlineStr">
        <is>
          <t>Project Assessment Sheet (Minor/Major/EDI/CP/Industry offered)</t>
        </is>
      </c>
    </row>
    <row r="6">
      <c r="E6" t="inlineStr">
        <is>
          <t>Year :</t>
        </is>
      </c>
      <c r="F6" t="inlineStr">
        <is>
          <t>Second Year (S.Y.)</t>
        </is>
      </c>
      <c r="G6" t="inlineStr">
        <is>
          <t>Division :</t>
        </is>
      </c>
      <c r="H6" t="inlineStr">
        <is>
          <t>Computer Engineering</t>
        </is>
      </c>
      <c r="I6" t="inlineStr">
        <is>
          <t>Batch :</t>
        </is>
      </c>
      <c r="J6" t="inlineStr">
        <is>
          <t>SY06</t>
        </is>
      </c>
      <c r="L6" t="inlineStr">
        <is>
          <t>Date of MID Sem exam :</t>
        </is>
      </c>
    </row>
    <row r="7">
      <c r="L7" t="inlineStr">
        <is>
          <t>Date of END Sem exam :</t>
        </is>
      </c>
    </row>
    <row r="8">
      <c r="D8" t="inlineStr">
        <is>
          <t>Dr. Yogesh Sharma</t>
        </is>
      </c>
    </row>
    <row r="9">
      <c r="F9" t="inlineStr">
        <is>
          <t>MSE</t>
        </is>
      </c>
      <c r="M9" t="inlineStr">
        <is>
          <t>ESE</t>
        </is>
      </c>
      <c r="T9" t="inlineStr">
        <is>
          <t>MSE+ESE</t>
        </is>
      </c>
      <c r="U9" t="inlineStr">
        <is>
          <t>TRL Level Assesment</t>
        </is>
      </c>
      <c r="X9" t="inlineStr">
        <is>
          <t>SDG (Y/N)</t>
        </is>
      </c>
      <c r="Y9" t="inlineStr">
        <is>
          <t>SDG NOS</t>
        </is>
      </c>
      <c r="Z9" t="inlineStr">
        <is>
          <t>JUSTIFICATION</t>
        </is>
      </c>
    </row>
    <row r="10">
      <c r="A10" t="inlineStr">
        <is>
          <t>Group ID</t>
        </is>
      </c>
      <c r="B10" t="inlineStr">
        <is>
          <t>Roll No.</t>
        </is>
      </c>
      <c r="C10" t="inlineStr">
        <is>
          <t>Gr. No.</t>
        </is>
      </c>
      <c r="D10" t="inlineStr">
        <is>
          <t>Name of the student</t>
        </is>
      </c>
      <c r="E10" t="inlineStr">
        <is>
          <t>Project Title</t>
        </is>
      </c>
      <c r="F10" t="inlineStr">
        <is>
          <t>Problem Definition, Related Work &amp; Complexity</t>
        </is>
      </c>
      <c r="G10" t="inlineStr">
        <is>
          <t>Proposed Solution, Technical Approach &amp; Feasibility</t>
        </is>
      </c>
      <c r="H10" t="inlineStr">
        <is>
          <t>Cost, Resources, Environmental Relevance &amp; Sustainability</t>
        </is>
      </c>
      <c r="I10" t="inlineStr">
        <is>
          <t>Teamwork &amp; Project Management</t>
        </is>
      </c>
      <c r="J10" t="inlineStr">
        <is>
          <t>Communication,  Presentation</t>
        </is>
      </c>
      <c r="K10" t="inlineStr">
        <is>
          <t>Total</t>
        </is>
      </c>
      <c r="L10" t="inlineStr">
        <is>
          <t>Out of 30</t>
        </is>
      </c>
      <c r="M10" t="inlineStr">
        <is>
          <t>Technical Complexity, Implementation &amp; Innovation</t>
        </is>
      </c>
      <c r="N10" t="inlineStr">
        <is>
          <t>Cost Effectiveness &amp; Resource Utilization</t>
        </is>
      </c>
      <c r="O10" t="inlineStr">
        <is>
          <t>Environmental Relevance, Sustainability &amp; Impact</t>
        </is>
      </c>
      <c r="P10" t="inlineStr">
        <is>
          <t>Teamwork &amp; Project Management</t>
        </is>
      </c>
      <c r="Q10" t="inlineStr">
        <is>
          <t>Reporting, Demonstration</t>
        </is>
      </c>
      <c r="R10" t="inlineStr">
        <is>
          <t>Total</t>
        </is>
      </c>
      <c r="S10" t="inlineStr">
        <is>
          <t>ESE Out of 70</t>
        </is>
      </c>
      <c r="T10" t="inlineStr">
        <is>
          <t>Actual Marks out of 100</t>
        </is>
      </c>
      <c r="U10" t="inlineStr">
        <is>
          <t>TRL Level</t>
        </is>
      </c>
      <c r="V10" t="inlineStr">
        <is>
          <t>Justification</t>
        </is>
      </c>
      <c r="W10" t="inlineStr">
        <is>
          <t>Remarks (If any)</t>
        </is>
      </c>
    </row>
    <row r="11">
      <c r="F11" t="n">
        <v>10</v>
      </c>
      <c r="G11" t="n">
        <v>12</v>
      </c>
      <c r="H11" t="n">
        <v>8</v>
      </c>
      <c r="I11" t="n">
        <v>10</v>
      </c>
      <c r="J11" t="n">
        <v>10</v>
      </c>
      <c r="K11" t="n">
        <v>50</v>
      </c>
      <c r="L11" t="n">
        <v>30</v>
      </c>
      <c r="M11" t="n">
        <v>30</v>
      </c>
      <c r="N11" t="n">
        <v>15</v>
      </c>
      <c r="O11" t="n">
        <v>15</v>
      </c>
      <c r="P11" t="n">
        <v>15</v>
      </c>
      <c r="Q11" t="n">
        <v>25</v>
      </c>
      <c r="R11" t="n">
        <v>100</v>
      </c>
      <c r="S11" t="n">
        <v>70</v>
      </c>
      <c r="T11" t="n">
        <v>100</v>
      </c>
      <c r="U11" t="inlineStr">
        <is>
          <t>1 to 9</t>
        </is>
      </c>
    </row>
    <row r="12">
      <c r="A12" t="inlineStr">
        <is>
          <t>SY06</t>
        </is>
      </c>
      <c r="B12" t="inlineStr">
        <is>
          <t>04</t>
        </is>
      </c>
      <c r="C12" t="inlineStr">
        <is>
          <t>04</t>
        </is>
      </c>
      <c r="D12" t="inlineStr">
        <is>
          <t>Shantanu Shokin Patil</t>
        </is>
      </c>
      <c r="E12" t="inlineStr">
        <is>
          <t>DevCollab Pro: Intelligent Multi-Dimensional Code Evaluation and Hackathon Assessment Platform</t>
        </is>
      </c>
      <c r="K12" t="n">
        <v>0</v>
      </c>
      <c r="L12" t="n">
        <v>0</v>
      </c>
      <c r="R12" t="n">
        <v>0</v>
      </c>
      <c r="S12" t="n">
        <v>0</v>
      </c>
      <c r="T12" t="n">
        <v>0</v>
      </c>
      <c r="U12" t="inlineStr">
        <is>
          <t>TRL 4 / 5</t>
        </is>
      </c>
      <c r="V12" t="inlineStr">
        <is>
          <t>Integrated prototype validated in laboratory/simulated environment with AST, Big-O profiler &amp; heap leaderboard.</t>
        </is>
      </c>
      <c r="X12" t="inlineStr">
        <is>
          <t>Y</t>
        </is>
      </c>
      <c r="Y12" t="inlineStr">
        <is>
          <t>SDG 4, SDG 8, SDG 9, SDG 12</t>
        </is>
      </c>
      <c r="Z12" t="inlineStr">
        <is>
          <t>Actionable developer education (SDG 4), fair skill assessment (SDG 8), infrastructure (SDG 9), Green IT delta compression (SDG 12).</t>
        </is>
      </c>
    </row>
    <row r="13">
      <c r="B13" t="inlineStr">
        <is>
          <t>10</t>
        </is>
      </c>
      <c r="C13" t="inlineStr">
        <is>
          <t>10</t>
        </is>
      </c>
      <c r="D13" t="inlineStr">
        <is>
          <t>Jagdish Prakash Patole</t>
        </is>
      </c>
      <c r="K13" t="n">
        <v>0</v>
      </c>
      <c r="L13" t="n">
        <v>0</v>
      </c>
      <c r="R13" t="n">
        <v>0</v>
      </c>
      <c r="S13" t="n">
        <v>0</v>
      </c>
    </row>
    <row r="14">
      <c r="B14" t="inlineStr">
        <is>
          <t>11</t>
        </is>
      </c>
      <c r="C14" t="inlineStr">
        <is>
          <t>11</t>
        </is>
      </c>
      <c r="D14" t="inlineStr">
        <is>
          <t>Nagesh Kishor Patthe</t>
        </is>
      </c>
      <c r="K14" t="n">
        <v>0</v>
      </c>
      <c r="L14" t="n">
        <v>0</v>
      </c>
      <c r="R14" t="n">
        <v>0</v>
      </c>
      <c r="S14" t="n">
        <v>0</v>
      </c>
    </row>
    <row r="15">
      <c r="B15" t="inlineStr">
        <is>
          <t>50</t>
        </is>
      </c>
      <c r="C15" t="inlineStr">
        <is>
          <t>50</t>
        </is>
      </c>
      <c r="D15" t="inlineStr">
        <is>
          <t>Kunal Sanjay Rahangdale</t>
        </is>
      </c>
      <c r="K15" t="n">
        <v>0</v>
      </c>
      <c r="L15" t="n">
        <v>0</v>
      </c>
      <c r="R15" t="n">
        <v>0</v>
      </c>
      <c r="S15" t="n">
        <v>0</v>
      </c>
    </row>
    <row r="16">
      <c r="K16" t="n">
        <v>0</v>
      </c>
      <c r="L16" t="n">
        <v>0</v>
      </c>
      <c r="R16" t="n">
        <v>0</v>
      </c>
      <c r="S16" t="n">
        <v>0</v>
      </c>
    </row>
    <row r="17">
      <c r="K17" t="n">
        <v>0</v>
      </c>
      <c r="L17" t="n">
        <v>0</v>
      </c>
      <c r="R17" t="n">
        <v>0</v>
      </c>
      <c r="S17" t="n">
        <v>0</v>
      </c>
    </row>
    <row r="18">
      <c r="K18" t="n">
        <v>0</v>
      </c>
      <c r="L18" t="n">
        <v>0</v>
      </c>
      <c r="R18" t="n">
        <v>0</v>
      </c>
      <c r="S18" t="n">
        <v>0</v>
      </c>
    </row>
    <row r="19">
      <c r="K19" t="n">
        <v>0</v>
      </c>
      <c r="L19" t="n">
        <v>0</v>
      </c>
      <c r="R19" t="n">
        <v>0</v>
      </c>
      <c r="S19" t="n">
        <v>0</v>
      </c>
    </row>
    <row r="20">
      <c r="K20" t="n">
        <v>0</v>
      </c>
      <c r="L20" t="n">
        <v>0</v>
      </c>
      <c r="R20" t="n">
        <v>0</v>
      </c>
      <c r="S20" t="n">
        <v>0</v>
      </c>
    </row>
    <row r="21">
      <c r="K21" t="n">
        <v>0</v>
      </c>
      <c r="L21" t="n">
        <v>0</v>
      </c>
      <c r="R21" t="n">
        <v>0</v>
      </c>
      <c r="S21" t="n">
        <v>0</v>
      </c>
    </row>
    <row r="22">
      <c r="K22" t="n">
        <v>0</v>
      </c>
      <c r="L22" t="n">
        <v>0</v>
      </c>
      <c r="R22" t="n">
        <v>0</v>
      </c>
      <c r="S22" t="n">
        <v>0</v>
      </c>
    </row>
    <row r="23">
      <c r="K23" t="n">
        <v>0</v>
      </c>
      <c r="L23" t="n">
        <v>0</v>
      </c>
      <c r="R23" t="n">
        <v>0</v>
      </c>
      <c r="S23" t="n">
        <v>0</v>
      </c>
    </row>
    <row r="24">
      <c r="K24" t="n">
        <v>0</v>
      </c>
      <c r="L24" t="n">
        <v>0</v>
      </c>
      <c r="R24" t="n">
        <v>0</v>
      </c>
      <c r="S24" t="n">
        <v>0</v>
      </c>
    </row>
    <row r="25">
      <c r="K25" t="n">
        <v>0</v>
      </c>
      <c r="L25" t="n">
        <v>0</v>
      </c>
      <c r="R25" t="n">
        <v>0</v>
      </c>
      <c r="S25" t="n">
        <v>0</v>
      </c>
    </row>
    <row r="26">
      <c r="K26" t="n">
        <v>0</v>
      </c>
      <c r="L26" t="n">
        <v>0</v>
      </c>
      <c r="R26" t="n">
        <v>0</v>
      </c>
      <c r="S26" t="n">
        <v>0</v>
      </c>
    </row>
    <row r="27">
      <c r="K27" t="n">
        <v>0</v>
      </c>
      <c r="L27" t="n">
        <v>0</v>
      </c>
      <c r="R27" t="n">
        <v>0</v>
      </c>
      <c r="S27" t="n">
        <v>0</v>
      </c>
    </row>
    <row r="28">
      <c r="K28" t="n">
        <v>0</v>
      </c>
      <c r="L28" t="n">
        <v>0</v>
      </c>
      <c r="R28" t="n">
        <v>0</v>
      </c>
      <c r="S28" t="n">
        <v>0</v>
      </c>
    </row>
    <row r="29">
      <c r="K29" t="n">
        <v>0</v>
      </c>
      <c r="L29" t="n">
        <v>0</v>
      </c>
      <c r="R29" t="n">
        <v>0</v>
      </c>
      <c r="S29" t="n">
        <v>0</v>
      </c>
    </row>
    <row r="30">
      <c r="K30" t="n">
        <v>0</v>
      </c>
      <c r="L30" t="n">
        <v>0</v>
      </c>
      <c r="R30" t="n">
        <v>0</v>
      </c>
      <c r="S30" t="n">
        <v>0</v>
      </c>
    </row>
    <row r="31">
      <c r="K31" t="n">
        <v>0</v>
      </c>
      <c r="L31" t="n">
        <v>0</v>
      </c>
      <c r="R31" t="n">
        <v>0</v>
      </c>
      <c r="S31" t="n">
        <v>0</v>
      </c>
    </row>
    <row r="32">
      <c r="K32" t="n">
        <v>0</v>
      </c>
      <c r="L32" t="n">
        <v>0</v>
      </c>
      <c r="R32" t="n">
        <v>0</v>
      </c>
      <c r="S32" t="n">
        <v>0</v>
      </c>
    </row>
    <row r="33">
      <c r="K33" t="n">
        <v>0</v>
      </c>
      <c r="L33" t="n">
        <v>0</v>
      </c>
      <c r="R33" t="n">
        <v>0</v>
      </c>
      <c r="S33" t="n">
        <v>0</v>
      </c>
    </row>
    <row r="34">
      <c r="K34" t="n">
        <v>0</v>
      </c>
      <c r="L34" t="n">
        <v>0</v>
      </c>
      <c r="R34" t="n">
        <v>0</v>
      </c>
      <c r="S34" t="n">
        <v>0</v>
      </c>
    </row>
    <row r="35">
      <c r="K35" t="n">
        <v>0</v>
      </c>
      <c r="L35" t="n">
        <v>0</v>
      </c>
      <c r="R35" t="n">
        <v>0</v>
      </c>
      <c r="S35" t="n">
        <v>0</v>
      </c>
    </row>
    <row r="36">
      <c r="K36" t="n">
        <v>0</v>
      </c>
      <c r="L36" t="n">
        <v>0</v>
      </c>
      <c r="R36" t="n">
        <v>0</v>
      </c>
      <c r="S36" t="n">
        <v>0</v>
      </c>
    </row>
    <row r="40">
      <c r="A40" t="inlineStr">
        <is>
          <t>Internal Examiner Name</t>
        </is>
      </c>
    </row>
    <row r="42">
      <c r="A42" t="inlineStr">
        <is>
          <t>Signature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F25" sqref="F25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sangita</dc:creator>
  <dcterms:created xmlns:dcterms="http://purl.org/dc/terms/" xmlns:xsi="http://www.w3.org/2001/XMLSchema-instance" xsi:type="dcterms:W3CDTF">2020-10-26T09:34:59Z</dcterms:created>
  <dcterms:modified xmlns:dcterms="http://purl.org/dc/terms/" xmlns:xsi="http://www.w3.org/2001/XMLSchema-instance" xsi:type="dcterms:W3CDTF">2026-09-28T19:38:21Z</dcterms:modified>
  <cp:lastModifiedBy>DELL</cp:lastModifiedBy>
  <cp:lastPrinted>2026-09-24T07:30:16Z</cp:lastPrinted>
</cp:coreProperties>
</file>